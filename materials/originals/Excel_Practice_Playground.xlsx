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cb1544229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0f56511d1e34e3b"/>
    <x:sheet xmlns:r="http://schemas.openxmlformats.org/officeDocument/2006/relationships" name="Client Tracker" sheetId="2" r:id="Rfcccba76b0724c3d"/>
    <x:sheet xmlns:r="http://schemas.openxmlformats.org/officeDocument/2006/relationships" name="Invoice Practice" sheetId="3" r:id="Ra87aa70e41bb447e"/>
    <x:sheet xmlns:r="http://schemas.openxmlformats.org/officeDocument/2006/relationships" name="Formula Lab" sheetId="4" r:id="Rc49a8971d0084e84"/>
    <x:sheet xmlns:r="http://schemas.openxmlformats.org/officeDocument/2006/relationships" name="Data Cleaning" sheetId="5" r:id="Rd0b620933a60471f"/>
    <x:sheet xmlns:r="http://schemas.openxmlformats.org/officeDocument/2006/relationships" name="Challenges" sheetId="6" r:id="Ra05025b6d173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mm/dd/yyyy"/>
    <x:numFmt numFmtId="202" formatCode="0.00%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DB2777"/>
      </x:patternFill>
    </x:fill>
    <x:fill>
      <x:patternFill patternType="solid">
        <x:fgColor rgb="FF14B8A6"/>
      </x:patternFill>
    </x:fill>
    <x:fill>
      <x:patternFill patternType="solid">
        <x:fgColor rgb="FFF59E0B"/>
      </x:patternFill>
    </x:fill>
    <x:fill>
      <x:patternFill patternType="solid">
        <x:fgColor rgb="FF0F766E"/>
      </x:patternFill>
    </x:fill>
    <x:fill>
      <x:patternFill patternType="solid">
        <x:fgColor rgb="FFF5F3FF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97316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83fe3163d42f5" /><Relationship Type="http://schemas.openxmlformats.org/officeDocument/2006/relationships/theme" Target="/xl/theme/theme1.xml" Id="Rb5f34cfb7db54f69" /><Relationship Type="http://schemas.openxmlformats.org/officeDocument/2006/relationships/sharedStrings" Target="/xl/sharedStrings.xml" Id="R647e99de2fbe4db7" /><Relationship Type="http://schemas.openxmlformats.org/officeDocument/2006/relationships/worksheet" Target="/xl/worksheets/sheet1.xml" Id="Ra0f56511d1e34e3b" /><Relationship Type="http://schemas.openxmlformats.org/officeDocument/2006/relationships/worksheet" Target="/xl/worksheets/sheet2.xml" Id="Rfcccba76b0724c3d" /><Relationship Type="http://schemas.openxmlformats.org/officeDocument/2006/relationships/worksheet" Target="/xl/worksheets/sheet3.xml" Id="Ra87aa70e41bb447e" /><Relationship Type="http://schemas.openxmlformats.org/officeDocument/2006/relationships/worksheet" Target="/xl/worksheets/sheet4.xml" Id="Rc49a8971d0084e84" /><Relationship Type="http://schemas.openxmlformats.org/officeDocument/2006/relationships/worksheet" Target="/xl/worksheets/sheet5.xml" Id="Rd0b620933a60471f" /><Relationship Type="http://schemas.openxmlformats.org/officeDocument/2006/relationships/worksheet" Target="/xl/worksheets/sheet6.xml" Id="Ra05025b6d1734d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8a8e92aafb46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Jobs by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8a8e92aafb46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entTrackerTable" displayName="ClientTrackerTable" ref="A1:J13" headerRowCount="1" totalsRowCount="0" totalsRowShown="0">
  <x:tableColumns count="10">
    <x:tableColumn id="1" name="Client"/>
    <x:tableColumn id="2" name="Service"/>
    <x:tableColumn id="3" name="Start Date"/>
    <x:tableColumn id="4" name="Due Date"/>
    <x:tableColumn id="5" name="Priority"/>
    <x:tableColumn id="6" name="Quoted"/>
    <x:tableColumn id="7" name="Paid"/>
    <x:tableColumn id="8" name="Balance"/>
    <x:tableColumn id="9" name="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67e62372b540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a4a91eabc43f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</x:cols>
  <x:sheetData>
    <x:row r="1">
      <x:c r="A1" s="5" t="str">
        <x:v>EXCEL PRACTICE PLAYGROUND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Value</x:v>
      </x:c>
      <x:c r="D4" s="17" t="str">
        <x:v>Status</x:v>
      </x:c>
      <x:c r="E4" s="17" t="str">
        <x:v>Count</x:v>
      </x:c>
      <x:c r="G4" s="24" t="str">
        <x:v>TRY THIS</x:v>
      </x:c>
      <x:c r="H4" s="24" t="str">
        <x:v>Practice Challenge</x:v>
      </x:c>
    </x:row>
    <x:row r="5">
      <x:c r="A5" t="str">
        <x:v>Total Quoted</x:v>
      </x:c>
      <x:c r="B5" s="14" t="n">
        <x:f>SUM('Client Tracker'!F2:F13)</x:f>
        <x:v>5490</x:v>
      </x:c>
      <x:c r="D5" t="str">
        <x:v>Open</x:v>
      </x:c>
      <x:c r="E5" t="n">
        <x:f>COUNTIF('Client Tracker'!I2:I13,D5)</x:f>
        <x:v>4</x:v>
      </x:c>
      <x:c r="G5" s="25" t="str">
        <x:v>1</x:v>
      </x:c>
      <x:c r="H5" s="25" t="str">
        <x:v>Change the chart type</x:v>
      </x:c>
    </x:row>
    <x:row r="6">
      <x:c r="A6" t="str">
        <x:v>Total Paid</x:v>
      </x:c>
      <x:c r="B6" s="14" t="n">
        <x:f>SUM('Client Tracker'!G2:G13)</x:f>
        <x:v>2075</x:v>
      </x:c>
      <x:c r="D6" t="str">
        <x:v>In Progress</x:v>
      </x:c>
      <x:c r="E6" t="n">
        <x:f>COUNTIF('Client Tracker'!I2:I13,D6)</x:f>
        <x:v>3</x:v>
      </x:c>
      <x:c r="G6" s="25" t="str">
        <x:v>2</x:v>
      </x:c>
      <x:c r="H6" s="25" t="str">
        <x:v>Create another KPI</x:v>
      </x:c>
    </x:row>
    <x:row r="7">
      <x:c r="A7" t="str">
        <x:v>Outstanding</x:v>
      </x:c>
      <x:c r="B7" s="14" t="n">
        <x:f>B5-B6</x:f>
        <x:v>3415</x:v>
      </x:c>
      <x:c r="D7" t="str">
        <x:v>Review</x:v>
      </x:c>
      <x:c r="E7" t="n">
        <x:f>COUNTIF('Client Tracker'!I2:I13,D7)</x:f>
        <x:v>2</x:v>
      </x:c>
      <x:c r="G7" s="25" t="str">
        <x:v>3</x:v>
      </x:c>
      <x:c r="H7" s="25" t="str">
        <x:v>Add conditional formatting</x:v>
      </x:c>
    </x:row>
    <x:row r="8">
      <x:c r="A8" t="str">
        <x:v>Open Jobs</x:v>
      </x:c>
      <x:c r="B8" t="n">
        <x:f>COUNTIF('Client Tracker'!I2:I13,"Open")+COUNTIF('Client Tracker'!I2:I13,"In Progress")</x:f>
        <x:v>7</x:v>
      </x:c>
      <x:c r="D8" t="str">
        <x:v>Completed</x:v>
      </x:c>
      <x:c r="E8" t="n">
        <x:f>COUNTIF('Client Tracker'!I2:I13,D8)</x:f>
        <x:v>2</x:v>
      </x:c>
      <x:c r="G8" s="25" t="str">
        <x:v>4</x:v>
      </x:c>
      <x:c r="H8" s="25" t="str">
        <x:v>Break a formula, then fix it</x:v>
      </x:c>
    </x:row>
    <x:row r="9">
      <x:c r="D9" t="str">
        <x:v>Cancelled</x:v>
      </x:c>
      <x:c r="E9" t="n">
        <x:f>COUNTIF('Client Tracker'!I2:I13,D9)</x:f>
        <x:v>1</x:v>
      </x:c>
      <x:c r="G9" s="25" t="str">
        <x:v>5</x:v>
      </x:c>
      <x:c r="H9" s="25" t="str">
        <x:v>Add your own summary box</x:v>
      </x:c>
    </x:row>
    <x:row r="10">
      <x:c r="G10" s="25" t="str">
        <x:v>6</x:v>
      </x:c>
      <x:c r="H10" s="25" t="str">
        <x:v>Redesign the dashboard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3967e62372b540d7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0.75" hidden="0" customWidth="1"/>
    <x:col min="4" max="4" width="10.130000114440918" hidden="0" customWidth="1"/>
    <x:col min="5" max="5" width="8.880000114440918" hidden="0" customWidth="1"/>
    <x:col min="6" max="6" width="8.75" hidden="0" customWidth="1"/>
    <x:col min="7" max="7" width="6.630000114440918" hidden="0" customWidth="1"/>
    <x:col min="8" max="8" width="9" hidden="0" customWidth="1"/>
    <x:col min="9" max="9" width="10.75" hidden="0" customWidth="1"/>
    <x:col min="10" max="10" width="24" hidden="0" customWidth="1"/>
  </x:cols>
  <x:sheetData>
    <x:row r="1">
      <x:c r="A1" s="32" t="str">
        <x:v>Client</x:v>
      </x:c>
      <x:c r="B1" s="32" t="str">
        <x:v>Service</x:v>
      </x:c>
      <x:c r="C1" s="32" t="str">
        <x:v>Start Date</x:v>
      </x:c>
      <x:c r="D1" s="32" t="str">
        <x:v>Due Date</x:v>
      </x:c>
      <x:c r="E1" s="32" t="str">
        <x:v>Priority</x:v>
      </x:c>
      <x:c r="F1" s="32" t="str">
        <x:v>Quoted</x:v>
      </x:c>
      <x:c r="G1" s="32" t="str">
        <x:v>Paid</x:v>
      </x:c>
      <x:c r="H1" s="32" t="str">
        <x:v>Balance</x:v>
      </x:c>
      <x:c r="I1" s="32" t="str">
        <x:v>Status</x:v>
      </x:c>
      <x:c r="J1" s="32" t="str">
        <x:v>Notes</x:v>
      </x:c>
    </x:row>
    <x:row r="2">
      <x:c r="A2" s="25" t="str">
        <x:v>Bright Bloom Cafe</x:v>
      </x:c>
      <x:c r="B2" s="25" t="str">
        <x:v>Website Design</x:v>
      </x:c>
      <x:c r="C2" s="33" t="n">
        <x:v>46285</x:v>
      </x:c>
      <x:c r="D2" s="33" t="n">
        <x:v>46300</x:v>
      </x:c>
      <x:c r="E2" s="25" t="str">
        <x:v>High</x:v>
      </x:c>
      <x:c r="F2" s="34" t="n">
        <x:v>850</x:v>
      </x:c>
      <x:c r="G2" s="34" t="n">
        <x:v>425</x:v>
      </x:c>
      <x:c r="H2" s="34" t="n">
        <x:f>F2-G2</x:f>
        <x:v>425</x:v>
      </x:c>
      <x:c r="I2" s="25" t="str">
        <x:v>In Progress</x:v>
      </x:c>
      <x:c r="J2" s="25" t="str">
        <x:v>Homepage draft</x:v>
      </x:c>
    </x:row>
    <x:row r="3">
      <x:c r="A3" s="25" t="str">
        <x:v>North Star Tutoring</x:v>
      </x:c>
      <x:c r="B3" s="25" t="str">
        <x:v>Business Cards</x:v>
      </x:c>
      <x:c r="C3" s="33" t="n">
        <x:v>46286</x:v>
      </x:c>
      <x:c r="D3" s="33" t="n">
        <x:v>46295</x:v>
      </x:c>
      <x:c r="E3" s="25" t="str">
        <x:v>Medium</x:v>
      </x:c>
      <x:c r="F3" s="34" t="n">
        <x:v>120</x:v>
      </x:c>
      <x:c r="G3" s="34" t="n">
        <x:v>120</x:v>
      </x:c>
      <x:c r="H3" s="34" t="n">
        <x:f>F3-G3</x:f>
        <x:v>0</x:v>
      </x:c>
      <x:c r="I3" s="25" t="str">
        <x:v>Completed</x:v>
      </x:c>
      <x:c r="J3" s="25" t="str">
        <x:v>Delivered</x:v>
      </x:c>
    </x:row>
    <x:row r="4">
      <x:c r="A4" s="25" t="str">
        <x:v>Critter Care</x:v>
      </x:c>
      <x:c r="B4" s="25" t="str">
        <x:v>Social Media</x:v>
      </x:c>
      <x:c r="C4" s="33" t="n">
        <x:v>46287</x:v>
      </x:c>
      <x:c r="D4" s="33" t="n">
        <x:v>46297</x:v>
      </x:c>
      <x:c r="E4" s="25" t="str">
        <x:v>Low</x:v>
      </x:c>
      <x:c r="F4" s="34" t="n">
        <x:v>250</x:v>
      </x:c>
      <x:c r="G4" s="34" t="n">
        <x:v>100</x:v>
      </x:c>
      <x:c r="H4" s="34" t="n">
        <x:f>F4-G4</x:f>
        <x:v>150</x:v>
      </x:c>
      <x:c r="I4" s="25" t="str">
        <x:v>Open</x:v>
      </x:c>
      <x:c r="J4" s="25" t="str">
        <x:v>Need photos</x:v>
      </x:c>
    </x:row>
    <x:row r="5">
      <x:c r="A5" s="25" t="str">
        <x:v>Healing Hands Vet</x:v>
      </x:c>
      <x:c r="B5" s="25" t="str">
        <x:v>Research &amp; Writing</x:v>
      </x:c>
      <x:c r="C5" s="33" t="n">
        <x:v>46288</x:v>
      </x:c>
      <x:c r="D5" s="33" t="n">
        <x:v>46303</x:v>
      </x:c>
      <x:c r="E5" s="25" t="str">
        <x:v>High</x:v>
      </x:c>
      <x:c r="F5" s="34" t="n">
        <x:v>475</x:v>
      </x:c>
      <x:c r="G5" s="34" t="n">
        <x:v>200</x:v>
      </x:c>
      <x:c r="H5" s="34" t="n">
        <x:f>F5-G5</x:f>
        <x:v>275</x:v>
      </x:c>
      <x:c r="I5" s="25" t="str">
        <x:v>Review</x:v>
      </x:c>
      <x:c r="J5" s="25" t="str">
        <x:v>Proof sent</x:v>
      </x:c>
    </x:row>
    <x:row r="6">
      <x:c r="A6" s="25" t="str">
        <x:v>Eats &amp; Beats</x:v>
      </x:c>
      <x:c r="B6" s="25" t="str">
        <x:v>Branding &amp; Creative</x:v>
      </x:c>
      <x:c r="C6" s="33" t="n">
        <x:v>46289</x:v>
      </x:c>
      <x:c r="D6" s="33" t="n">
        <x:v>46305</x:v>
      </x:c>
      <x:c r="E6" s="25" t="str">
        <x:v>High</x:v>
      </x:c>
      <x:c r="F6" s="34" t="n">
        <x:v>600</x:v>
      </x:c>
      <x:c r="G6" s="34" t="n">
        <x:v>300</x:v>
      </x:c>
      <x:c r="H6" s="34" t="n">
        <x:f>F6-G6</x:f>
        <x:v>300</x:v>
      </x:c>
      <x:c r="I6" s="25" t="str">
        <x:v>In Progress</x:v>
      </x:c>
      <x:c r="J6" s="25" t="str">
        <x:v>Logo concepts</x:v>
      </x:c>
    </x:row>
    <x:row r="7">
      <x:c r="A7" s="25" t="str">
        <x:v>Muffins N Mocha</x:v>
      </x:c>
      <x:c r="B7" s="25" t="str">
        <x:v>Website Design</x:v>
      </x:c>
      <x:c r="C7" s="33" t="n">
        <x:v>46290</x:v>
      </x:c>
      <x:c r="D7" s="33" t="n">
        <x:v>46307</x:v>
      </x:c>
      <x:c r="E7" s="25" t="str">
        <x:v>Medium</x:v>
      </x:c>
      <x:c r="F7" s="34" t="n">
        <x:v>950</x:v>
      </x:c>
      <x:c r="G7" s="34" t="n">
        <x:v>0</x:v>
      </x:c>
      <x:c r="H7" s="34" t="n">
        <x:f>F7-G7</x:f>
        <x:v>950</x:v>
      </x:c>
      <x:c r="I7" s="25" t="str">
        <x:v>Open</x:v>
      </x:c>
      <x:c r="J7" s="25" t="str">
        <x:v>Awaiting content</x:v>
      </x:c>
    </x:row>
    <x:row r="8">
      <x:c r="A8" s="25" t="str">
        <x:v>Everlasting Grace</x:v>
      </x:c>
      <x:c r="B8" s="25" t="str">
        <x:v>Event Planning</x:v>
      </x:c>
      <x:c r="C8" s="33" t="n">
        <x:v>46290</x:v>
      </x:c>
      <x:c r="D8" s="33" t="n">
        <x:v>46310</x:v>
      </x:c>
      <x:c r="E8" s="25" t="str">
        <x:v>Medium</x:v>
      </x:c>
      <x:c r="F8" s="34" t="n">
        <x:v>500</x:v>
      </x:c>
      <x:c r="G8" s="34" t="n">
        <x:v>250</x:v>
      </x:c>
      <x:c r="H8" s="34" t="n">
        <x:f>F8-G8</x:f>
        <x:v>250</x:v>
      </x:c>
      <x:c r="I8" s="25" t="str">
        <x:v>In Progress</x:v>
      </x:c>
      <x:c r="J8" s="25" t="str">
        <x:v>Vendor list</x:v>
      </x:c>
    </x:row>
    <x:row r="9">
      <x:c r="A9" s="25" t="str">
        <x:v>Riverbend Salon</x:v>
      </x:c>
      <x:c r="B9" s="25" t="str">
        <x:v>Career &amp; Office</x:v>
      </x:c>
      <x:c r="C9" s="33" t="n">
        <x:v>46291</x:v>
      </x:c>
      <x:c r="D9" s="33" t="n">
        <x:v>46296</x:v>
      </x:c>
      <x:c r="E9" s="25" t="str">
        <x:v>Low</x:v>
      </x:c>
      <x:c r="F9" s="34" t="n">
        <x:v>180</x:v>
      </x:c>
      <x:c r="G9" s="34" t="n">
        <x:v>180</x:v>
      </x:c>
      <x:c r="H9" s="34" t="n">
        <x:f>F9-G9</x:f>
        <x:v>0</x:v>
      </x:c>
      <x:c r="I9" s="25" t="str">
        <x:v>Completed</x:v>
      </x:c>
      <x:c r="J9" s="25" t="str">
        <x:v>Resume package</x:v>
      </x:c>
    </x:row>
    <x:row r="10">
      <x:c r="A10" s="25" t="str">
        <x:v>Sunset Youth Club</x:v>
      </x:c>
      <x:c r="B10" s="25" t="str">
        <x:v>Vocal Services</x:v>
      </x:c>
      <x:c r="C10" s="33" t="n">
        <x:v>46291</x:v>
      </x:c>
      <x:c r="D10" s="33" t="n">
        <x:v>46313</x:v>
      </x:c>
      <x:c r="E10" s="25" t="str">
        <x:v>Medium</x:v>
      </x:c>
      <x:c r="F10" s="34" t="n">
        <x:v>300</x:v>
      </x:c>
      <x:c r="G10" s="34" t="n">
        <x:v>150</x:v>
      </x:c>
      <x:c r="H10" s="34" t="n">
        <x:f>F10-G10</x:f>
        <x:v>150</x:v>
      </x:c>
      <x:c r="I10" s="25" t="str">
        <x:v>Open</x:v>
      </x:c>
      <x:c r="J10" s="25" t="str">
        <x:v>Song selection</x:v>
      </x:c>
    </x:row>
    <x:row r="11">
      <x:c r="A11" s="25" t="str">
        <x:v>Oak Street Bakery</x:v>
      </x:c>
      <x:c r="B11" s="25" t="str">
        <x:v>Clerical Support</x:v>
      </x:c>
      <x:c r="C11" s="33" t="n">
        <x:v>46292</x:v>
      </x:c>
      <x:c r="D11" s="33" t="n">
        <x:v>46301</x:v>
      </x:c>
      <x:c r="E11" s="25" t="str">
        <x:v>Low</x:v>
      </x:c>
      <x:c r="F11" s="34" t="n">
        <x:v>225</x:v>
      </x:c>
      <x:c r="G11" s="34" t="n">
        <x:v>0</x:v>
      </x:c>
      <x:c r="H11" s="34" t="n">
        <x:f>F11-G11</x:f>
        <x:v>225</x:v>
      </x:c>
      <x:c r="I11" s="25" t="str">
        <x:v>Open</x:v>
      </x:c>
      <x:c r="J11" s="25" t="str">
        <x:v>File cleanup</x:v>
      </x:c>
    </x:row>
    <x:row r="12">
      <x:c r="A12" s="25" t="str">
        <x:v>Golden Hour Photos</x:v>
      </x:c>
      <x:c r="B12" s="25" t="str">
        <x:v>Branding &amp; Creative</x:v>
      </x:c>
      <x:c r="C12" s="33" t="n">
        <x:v>46293</x:v>
      </x:c>
      <x:c r="D12" s="33" t="n">
        <x:v>46302</x:v>
      </x:c>
      <x:c r="E12" s="25" t="str">
        <x:v>High</x:v>
      </x:c>
      <x:c r="F12" s="34" t="n">
        <x:v>700</x:v>
      </x:c>
      <x:c r="G12" s="34" t="n">
        <x:v>350</x:v>
      </x:c>
      <x:c r="H12" s="34" t="n">
        <x:f>F12-G12</x:f>
        <x:v>350</x:v>
      </x:c>
      <x:c r="I12" s="25" t="str">
        <x:v>Review</x:v>
      </x:c>
      <x:c r="J12" s="25" t="str">
        <x:v>Color edits</x:v>
      </x:c>
    </x:row>
    <x:row r="13">
      <x:c r="A13" s="25" t="str">
        <x:v>Maple Street Shop</x:v>
      </x:c>
      <x:c r="B13" s="25" t="str">
        <x:v>Business Tools</x:v>
      </x:c>
      <x:c r="C13" s="33" t="n">
        <x:v>46294</x:v>
      </x:c>
      <x:c r="D13" s="33" t="n">
        <x:v>46304</x:v>
      </x:c>
      <x:c r="E13" s="25" t="str">
        <x:v>Medium</x:v>
      </x:c>
      <x:c r="F13" s="34" t="n">
        <x:v>340</x:v>
      </x:c>
      <x:c r="G13" s="34" t="n">
        <x:v>0</x:v>
      </x:c>
      <x:c r="H13" s="34" t="n">
        <x:f>F13-G13</x:f>
        <x:v>340</x:v>
      </x:c>
      <x:c r="I13" s="25" t="str">
        <x:v>Cancelled</x:v>
      </x:c>
      <x:c r="J13" s="25" t="str">
        <x:v>Practice row</x:v>
      </x:c>
    </x:row>
  </x:sheetData>
  <x:conditionalFormatting sqref="H2:H13">
    <x:cfRule type="dataBar" priority="1">
      <x:dataBar>
        <x:cfvo type="min"/>
        <x:cfvo type="max"/>
        <x:color rgb="FFDB2777"/>
      </x:dataBar>
      <x:extLst>
        <x:ext xmlns:x14="http://schemas.microsoft.com/office/spreadsheetml/2009/9/main" uri="{B025F937-C7B1-47D3-B67F-A62EFF666E3E}">
          <x14:id>{469DBBC7-D426-F961-9F83-3D81650CF528}</x14:id>
        </x:ext>
      </x:extLst>
    </x:cfRule>
  </x:conditionalFormatting>
  <x:conditionalFormatting sqref="I2:I13">
    <x:cfRule type="expression" dxfId="0" priority="2">
      <x:formula>I2="Completed"</x:formula>
    </x:cfRule>
    <x:cfRule type="expression" dxfId="1" priority="3">
      <x:formula>I2="Cancelled"</x:formula>
    </x:cfRule>
  </x:conditionalFormatting>
  <x:dataValidations count="2">
    <x:dataValidation type="list" sqref="E2:E100">
      <x:formula1>"Low,Medium,High"</x:formula1>
    </x:dataValidation>
    <x:dataValidation type="list" sqref="I2:I100">
      <x:formula1>"Open,In Progress,Review,Completed,Cancelled"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4a4a91eabc43f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9DBBC7-D426-F961-9F83-3D81650CF528}">
            <x14:dataBar gradient="1">
              <x14:cfvo type="min"/>
              <x14:cfvo type="max"/>
              <x14:fillColor rgb="FFDB2777"/>
            </x14:dataBar>
          </x14:cfRule>
          <xm:sqref>H2:H13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</x:cols>
  <x:sheetData>
    <x:row r="1">
      <x:c r="A1" s="41" t="str">
        <x:v>INVOICE PRACTICE TEMPLATE</x:v>
      </x:c>
      <x:c r="B1" s="41"/>
      <x:c r="C1" s="41"/>
      <x:c r="D1" s="41"/>
      <x:c r="E1" s="41"/>
      <x:c r="F1" s="41"/>
    </x:row>
    <x:row r="2">
      <x:c r="A2" s="41"/>
      <x:c r="B2" s="41"/>
      <x:c r="C2" s="41"/>
      <x:c r="D2" s="41"/>
      <x:c r="E2" s="41"/>
      <x:c r="F2" s="41"/>
    </x:row>
    <x:row r="4">
      <x:c r="A4" t="str">
        <x:v>Field</x:v>
      </x:c>
      <x:c r="B4" t="str">
        <x:v>Practice Value</x:v>
      </x:c>
    </x:row>
    <x:row r="5">
      <x:c r="A5" t="str">
        <x:v>Invoice #</x:v>
      </x:c>
      <x:c r="B5" t="str">
        <x:v>INV-1001</x:v>
      </x:c>
    </x:row>
    <x:row r="6">
      <x:c r="A6" t="str">
        <x:v>Client</x:v>
      </x:c>
      <x:c r="B6" t="str">
        <x:v>Practice Customer</x:v>
      </x:c>
    </x:row>
    <x:row r="7">
      <x:c r="A7" t="str">
        <x:v>Invoice Date</x:v>
      </x:c>
      <x:c r="B7" s="30" t="n">
        <x:v>46291</x:v>
      </x:c>
    </x:row>
    <x:row r="8">
      <x:c r="A8" t="str">
        <x:v>Due Date</x:v>
      </x:c>
      <x:c r="B8" s="30" t="n">
        <x:v>46298</x:v>
      </x:c>
    </x:row>
    <x:row r="9">
      <x:c r="A9" t="str">
        <x:v>Tax Rate</x:v>
      </x:c>
      <x:c r="B9" s="46" t="n">
        <x:v>0.0825</x:v>
      </x:c>
    </x:row>
    <x:row r="11">
      <x:c r="A11" s="11" t="str">
        <x:v>Description</x:v>
      </x:c>
      <x:c r="B11" s="11" t="str">
        <x:v>Qty</x:v>
      </x:c>
      <x:c r="C11" s="11" t="str">
        <x:v>Rate</x:v>
      </x:c>
      <x:c r="D11" s="11" t="str">
        <x:v>Subtotal</x:v>
      </x:c>
      <x:c r="E11" s="11" t="str">
        <x:v>Try changing this</x:v>
      </x:c>
    </x:row>
    <x:row r="12">
      <x:c r="A12" t="str">
        <x:v>Website consultation</x:v>
      </x:c>
      <x:c r="B12" t="n">
        <x:v>2</x:v>
      </x:c>
      <x:c r="C12" s="14" t="n">
        <x:v>65</x:v>
      </x:c>
      <x:c r="D12" s="14" t="n">
        <x:f>B12*C12</x:f>
        <x:v>130</x:v>
      </x:c>
      <x:c r="E12" t="str">
        <x:v>Edit Qty/Rate</x:v>
      </x:c>
    </x:row>
    <x:row r="13">
      <x:c r="A13" t="str">
        <x:v>Business card design</x:v>
      </x:c>
      <x:c r="B13" t="n">
        <x:v>1</x:v>
      </x:c>
      <x:c r="C13" s="14" t="n">
        <x:v>120</x:v>
      </x:c>
      <x:c r="D13" s="14" t="n">
        <x:f>B13*C13</x:f>
        <x:v>120</x:v>
      </x:c>
      <x:c r="E13" t="str">
        <x:v>Copy formula down</x:v>
      </x:c>
    </x:row>
    <x:row r="14">
      <x:c r="A14" t="str">
        <x:v>Document formatting</x:v>
      </x:c>
      <x:c r="B14" t="n">
        <x:v>3</x:v>
      </x:c>
      <x:c r="C14" s="14" t="n">
        <x:v>45</x:v>
      </x:c>
      <x:c r="D14" s="14" t="n">
        <x:f>B14*C14</x:f>
        <x:v>135</x:v>
      </x:c>
      <x:c r="E14" t="str">
        <x:v>Add another item</x:v>
      </x:c>
    </x:row>
    <x:row r="15">
      <x:c r="A15" t="str">
        <x:v>Spreadsheet cleanup</x:v>
      </x:c>
      <x:c r="B15" t="n">
        <x:v>2</x:v>
      </x:c>
      <x:c r="C15" s="14" t="n">
        <x:v>55</x:v>
      </x:c>
      <x:c r="D15" s="14" t="n">
        <x:f>B15*C15</x:f>
        <x:v>110</x:v>
      </x:c>
      <x:c r="E15" t="str">
        <x:v>Change description</x:v>
      </x:c>
    </x:row>
    <x:row r="16">
      <x:c r="A16" t="str"/>
      <x:c r="B16"/>
      <x:c r="C16" s="14"/>
      <x:c r="D16" s="14" t="n">
        <x:f>B16*C16</x:f>
        <x:v>0</x:v>
      </x:c>
      <x:c r="E16" t="str"/>
    </x:row>
    <x:row r="18">
      <x:c r="D18" s="50" t="str">
        <x:v>Subtotal</x:v>
      </x:c>
      <x:c r="E18" s="51" t="n">
        <x:f>SUM(D12:D16)</x:f>
        <x:v>495</x:v>
      </x:c>
    </x:row>
    <x:row r="19">
      <x:c r="D19" s="50" t="str">
        <x:v>Tax</x:v>
      </x:c>
      <x:c r="E19" s="51" t="n">
        <x:f>E18*$B$9</x:f>
        <x:v>40.8375</x:v>
      </x:c>
    </x:row>
    <x:row r="20">
      <x:c r="D20" s="50" t="str">
        <x:v>Total</x:v>
      </x:c>
      <x:c r="E20" s="51" t="n">
        <x:f>E18+E19</x:f>
        <x:v>535.8375</x:v>
      </x:c>
    </x:row>
    <x:row r="21">
      <x:c r="D21" s="50" t="str">
        <x:v>Balance Due</x:v>
      </x:c>
      <x:c r="E21" s="51" t="n">
        <x:f>E20</x:f>
        <x:v>535.8375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880000114440918" hidden="0" customWidth="1"/>
    <x:col min="3" max="3" width="12.880000114440918" hidden="0" customWidth="1"/>
    <x:col min="4" max="4" width="10.630000114440918" hidden="0" customWidth="1"/>
    <x:col min="5" max="5" width="16.5" hidden="0" customWidth="1"/>
    <x:col min="6" max="6" width="18.5" hidden="0" customWidth="1"/>
  </x:cols>
  <x:sheetData>
    <x:row r="1">
      <x:c r="A1" s="60" t="str">
        <x:v>Function</x:v>
      </x:c>
      <x:c r="B1" s="60" t="str">
        <x:v>Example Input 1</x:v>
      </x:c>
      <x:c r="C1" s="60" t="str">
        <x:v>Example Input 2</x:v>
      </x:c>
      <x:c r="D1" s="60" t="str">
        <x:v>Your Formula</x:v>
      </x:c>
      <x:c r="E1" s="60" t="str">
        <x:v>Expected Idea</x:v>
      </x:c>
      <x:c r="F1" s="60" t="str">
        <x:v>Practice Note</x:v>
      </x:c>
      <x:c r="H1" s="17" t="str">
        <x:v>Service</x:v>
      </x:c>
      <x:c r="I1" s="17" t="str">
        <x:v>Practice Price</x:v>
      </x:c>
    </x:row>
    <x:row r="2">
      <x:c r="A2" s="25" t="str">
        <x:v>SUM</x:v>
      </x:c>
      <x:c r="B2" s="25" t="n">
        <x:v>10</x:v>
      </x:c>
      <x:c r="C2" s="25" t="n">
        <x:v>25</x:v>
      </x:c>
      <x:c r="D2" s="62" t="str"/>
      <x:c r="E2" s="25" t="str">
        <x:v>35</x:v>
      </x:c>
      <x:c r="F2" s="25" t="str">
        <x:v>Add cells</x:v>
      </x:c>
      <x:c r="H2" t="str">
        <x:v>Website Design</x:v>
      </x:c>
      <x:c r="I2" s="14" t="n">
        <x:v>850</x:v>
      </x:c>
    </x:row>
    <x:row r="3">
      <x:c r="A3" s="25" t="str">
        <x:v>AVERAGE</x:v>
      </x:c>
      <x:c r="B3" s="25" t="n">
        <x:v>10</x:v>
      </x:c>
      <x:c r="C3" s="25" t="n">
        <x:v>20</x:v>
      </x:c>
      <x:c r="D3" s="62" t="str"/>
      <x:c r="E3" s="25" t="str">
        <x:v>15</x:v>
      </x:c>
      <x:c r="F3" s="25" t="str">
        <x:v>Average cells</x:v>
      </x:c>
      <x:c r="H3" t="str">
        <x:v>Business Cards</x:v>
      </x:c>
      <x:c r="I3" s="14" t="n">
        <x:v>120</x:v>
      </x:c>
    </x:row>
    <x:row r="4">
      <x:c r="A4" s="25" t="str">
        <x:v>IF</x:v>
      </x:c>
      <x:c r="B4" s="25" t="n">
        <x:v>72</x:v>
      </x:c>
      <x:c r="C4" s="25" t="n">
        <x:v>70</x:v>
      </x:c>
      <x:c r="D4" s="62" t="str"/>
      <x:c r="E4" s="25" t="str">
        <x:v>Pass</x:v>
      </x:c>
      <x:c r="F4" s="25" t="str">
        <x:v>If B&gt;=C then Pass</x:v>
      </x:c>
      <x:c r="H4" t="str">
        <x:v>Branding</x:v>
      </x:c>
      <x:c r="I4" s="14" t="n">
        <x:v>600</x:v>
      </x:c>
    </x:row>
    <x:row r="5">
      <x:c r="A5" s="25" t="str">
        <x:v>ROUND</x:v>
      </x:c>
      <x:c r="B5" s="25" t="n">
        <x:v>12.678</x:v>
      </x:c>
      <x:c r="C5" s="25" t="n">
        <x:v>2</x:v>
      </x:c>
      <x:c r="D5" s="62" t="str"/>
      <x:c r="E5" s="25" t="str">
        <x:v>12.68</x:v>
      </x:c>
      <x:c r="F5" s="25" t="str">
        <x:v>Round B to C decimals</x:v>
      </x:c>
      <x:c r="H5" t="str">
        <x:v>Clerical Support</x:v>
      </x:c>
      <x:c r="I5" s="14" t="n">
        <x:v>225</x:v>
      </x:c>
    </x:row>
    <x:row r="6">
      <x:c r="A6" s="25" t="str">
        <x:v>COUNTIF</x:v>
      </x:c>
      <x:c r="B6" s="25" t="str">
        <x:v>Open</x:v>
      </x:c>
      <x:c r="C6" s="25" t="str">
        <x:v>Open</x:v>
      </x:c>
      <x:c r="D6" s="62" t="str"/>
      <x:c r="E6" s="25" t="str">
        <x:v>1</x:v>
      </x:c>
      <x:c r="F6" s="25" t="str">
        <x:v>Count matching text</x:v>
      </x:c>
      <x:c r="H6" t="str">
        <x:v>Vocal Services</x:v>
      </x:c>
      <x:c r="I6" s="14" t="n">
        <x:v>300</x:v>
      </x:c>
    </x:row>
    <x:row r="7">
      <x:c r="A7" s="25" t="str">
        <x:v>LEFT</x:v>
      </x:c>
      <x:c r="B7" s="25" t="str">
        <x:v>S3LFM@DE</x:v>
      </x:c>
      <x:c r="C7" s="25" t="n">
        <x:v>4</x:v>
      </x:c>
      <x:c r="D7" s="62" t="str"/>
      <x:c r="E7" s="25" t="str">
        <x:v>S3LF</x:v>
      </x:c>
      <x:c r="F7" s="25" t="str">
        <x:v>First N characters</x:v>
      </x:c>
    </x:row>
    <x:row r="8">
      <x:c r="A8" s="25" t="str">
        <x:v>RIGHT</x:v>
      </x:c>
      <x:c r="B8" s="25" t="str">
        <x:v>Solutions</x:v>
      </x:c>
      <x:c r="C8" s="25" t="n">
        <x:v>4</x:v>
      </x:c>
      <x:c r="D8" s="62" t="str"/>
      <x:c r="E8" s="25" t="str">
        <x:v>ions</x:v>
      </x:c>
      <x:c r="F8" s="25" t="str">
        <x:v>Last N characters</x:v>
      </x:c>
    </x:row>
    <x:row r="9">
      <x:c r="A9" s="25" t="str">
        <x:v>CONCAT</x:v>
      </x:c>
      <x:c r="B9" s="25" t="str">
        <x:v>S3LFM@DE </x:v>
      </x:c>
      <x:c r="C9" s="25" t="str">
        <x:v>Solutions</x:v>
      </x:c>
      <x:c r="D9" s="62" t="str"/>
      <x:c r="E9" s="25" t="str">
        <x:v>S3LFM@DE Solutions</x:v>
      </x:c>
      <x:c r="F9" s="25" t="str">
        <x:v>Join text</x:v>
      </x:c>
    </x:row>
    <x:row r="10">
      <x:c r="A10" s="25" t="str">
        <x:v>TODAY</x:v>
      </x:c>
      <x:c r="B10" s="25" t="str"/>
      <x:c r="C10" s="25" t="str"/>
      <x:c r="D10" s="62" t="str"/>
      <x:c r="E10" s="25" t="str">
        <x:v>current date</x:v>
      </x:c>
      <x:c r="F10" s="25" t="str">
        <x:v>No input needed</x:v>
      </x:c>
    </x:row>
    <x:row r="11">
      <x:c r="A11" s="25" t="str">
        <x:v>IFERROR</x:v>
      </x:c>
      <x:c r="B11" s="25" t="n">
        <x:v>10</x:v>
      </x:c>
      <x:c r="C11" s="25" t="n">
        <x:v>0</x:v>
      </x:c>
      <x:c r="D11" s="62" t="str"/>
      <x:c r="E11" s="25" t="str">
        <x:v>Try safely</x:v>
      </x:c>
      <x:c r="F11" s="25" t="str">
        <x:v>Practice divide by zero</x:v>
      </x:c>
    </x:row>
    <x:row r="12">
      <x:c r="A12" s="25" t="str">
        <x:v>XLOOKUP</x:v>
      </x:c>
      <x:c r="B12" s="25" t="str">
        <x:v>Website Design</x:v>
      </x:c>
      <x:c r="C12" s="25" t="str"/>
      <x:c r="D12" s="62" t="str"/>
      <x:c r="E12" s="25" t="str">
        <x:v>Find a price</x:v>
      </x:c>
      <x:c r="F12" s="25" t="str">
        <x:v>Use Lookup Table below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11.880000114440918" hidden="0" customWidth="1"/>
    <x:col min="3" max="3" width="30.1299991607666" hidden="0" customWidth="1"/>
    <x:col min="4" max="4" width="10.5" hidden="0" customWidth="1"/>
    <x:col min="5" max="5" width="16.6299991607666" hidden="0" customWidth="1"/>
    <x:col min="7" max="7" width="12.880000114440918" hidden="0" customWidth="1"/>
    <x:col min="8" max="8" width="20.3799991607666" hidden="0" customWidth="1"/>
  </x:cols>
  <x:sheetData>
    <x:row r="1">
      <x:c r="A1" s="68" t="str">
        <x:v>Raw Name</x:v>
      </x:c>
      <x:c r="B1" s="68" t="str">
        <x:v>Raw Phone</x:v>
      </x:c>
      <x:c r="C1" s="68" t="str">
        <x:v>Raw Email</x:v>
      </x:c>
      <x:c r="D1" s="68" t="str">
        <x:v>Raw Status</x:v>
      </x:c>
      <x:c r="E1" s="68" t="str">
        <x:v>Your Cleaned Version</x:v>
      </x:c>
      <x:c r="G1" s="32" t="str">
        <x:v>CLEANING TOOL</x:v>
      </x:c>
      <x:c r="H1" s="32" t="str">
        <x:v>WHAT TO TRY</x:v>
      </x:c>
    </x:row>
    <x:row r="2">
      <x:c r="A2" s="25" t="str">
        <x:v>  templar hughes-bryant </x:v>
      </x:c>
      <x:c r="B2" s="25" t="str">
        <x:v>8709950607</x:v>
      </x:c>
      <x:c r="C2" s="25" t="str">
        <x:v> S3LFMADE.SOLUTIONS1@GMAIL.COM </x:v>
      </x:c>
      <x:c r="D2" s="25" t="str">
        <x:v>open </x:v>
      </x:c>
      <x:c r="E2" s="70" t="str"/>
      <x:c r="G2" s="25" t="str">
        <x:v>TRIM</x:v>
      </x:c>
      <x:c r="H2" s="25" t="str">
        <x:v>Remove extra spaces</x:v>
      </x:c>
    </x:row>
    <x:row r="3">
      <x:c r="A3" s="25" t="str">
        <x:v>BUDDY BRYANT</x:v>
      </x:c>
      <x:c r="B3" s="25" t="str">
        <x:v>(870) 555-0198</x:v>
      </x:c>
      <x:c r="C3" s="25" t="str">
        <x:v>buddy@example.com</x:v>
      </x:c>
      <x:c r="D3" s="25" t="str">
        <x:v>IN PROGRESS</x:v>
      </x:c>
      <x:c r="E3" s="70" t="str"/>
      <x:c r="G3" s="25" t="str">
        <x:v>PROPER</x:v>
      </x:c>
      <x:c r="H3" s="25" t="str">
        <x:v>Fix name capitalization</x:v>
      </x:c>
    </x:row>
    <x:row r="4">
      <x:c r="A4" s="25" t="str">
        <x:v>jane   doe</x:v>
      </x:c>
      <x:c r="B4" s="25" t="str">
        <x:v>870-555-1111</x:v>
      </x:c>
      <x:c r="C4" s="25" t="str">
        <x:v>Jane.Doe@Example.Com</x:v>
      </x:c>
      <x:c r="D4" s="25" t="str">
        <x:v>completed</x:v>
      </x:c>
      <x:c r="E4" s="70" t="str"/>
      <x:c r="G4" s="25" t="str">
        <x:v>LOWER</x:v>
      </x:c>
      <x:c r="H4" s="25" t="str">
        <x:v>Normalize email</x:v>
      </x:c>
    </x:row>
    <x:row r="5">
      <x:c r="A5" s="25" t="str">
        <x:v>ROBERT SMITH </x:v>
      </x:c>
      <x:c r="B5" s="25" t="str">
        <x:v>870.555.2222</x:v>
      </x:c>
      <x:c r="C5" s="25" t="str">
        <x:v>ROBERT@EXAMPLE.COM </x:v>
      </x:c>
      <x:c r="D5" s="25" t="str">
        <x:v> Open</x:v>
      </x:c>
      <x:c r="E5" s="70" t="str"/>
      <x:c r="G5" s="25" t="str">
        <x:v>UPPER</x:v>
      </x:c>
      <x:c r="H5" s="25" t="str">
        <x:v>Normalize codes/status</x:v>
      </x:c>
    </x:row>
    <x:row r="6">
      <x:c r="A6" s="25" t="str">
        <x:v>  maria lopez</x:v>
      </x:c>
      <x:c r="B6" s="25" t="str">
        <x:v>870 555 3333</x:v>
      </x:c>
      <x:c r="C6" s="25" t="str">
        <x:v>maria@example.com</x:v>
      </x:c>
      <x:c r="D6" s="25" t="str">
        <x:v>review </x:v>
      </x:c>
      <x:c r="E6" s="70" t="str"/>
      <x:c r="G6" s="25" t="str">
        <x:v>SUBSTITUTE</x:v>
      </x:c>
      <x:c r="H6" s="25" t="str">
        <x:v>Remove punctuation</x:v>
      </x:c>
    </x:row>
    <x:row r="7">
      <x:c r="A7" s="25" t="str">
        <x:v>SAM JOHNSON</x:v>
      </x:c>
      <x:c r="B7" s="25" t="str">
        <x:v>8705554444</x:v>
      </x:c>
      <x:c r="C7" s="25" t="str">
        <x:v> sam@example.com</x:v>
      </x:c>
      <x:c r="D7" s="25" t="str">
        <x:v>CANCELLED</x:v>
      </x:c>
      <x:c r="E7" s="70" t="str"/>
      <x:c r="G7" s="25" t="str">
        <x:v>TEXTJOIN</x:v>
      </x:c>
      <x:c r="H7" s="25" t="str">
        <x:v>Rebuild text</x:v>
      </x:c>
    </x:row>
    <x:row r="8">
      <x:c r="A8" s="25" t="str">
        <x:v>alex green</x:v>
      </x:c>
      <x:c r="B8" s="25" t="str">
        <x:v>870-555-5555</x:v>
      </x:c>
      <x:c r="C8" s="25" t="str">
        <x:v>ALEX@EXAMPLE.COM</x:v>
      </x:c>
      <x:c r="D8" s="25" t="str">
        <x:v>in progress </x:v>
      </x:c>
      <x:c r="E8" s="70" t="str"/>
      <x:c r="G8" s="25" t="str">
        <x:v>Find &amp; Replace</x:v>
      </x:c>
      <x:c r="H8" s="25" t="str">
        <x:v>Clean repeating characters</x:v>
      </x:c>
    </x:row>
    <x:row r="9">
      <x:c r="A9" s="25" t="str">
        <x:v>TAYLOR BROWN</x:v>
      </x:c>
      <x:c r="B9" s="25" t="str">
        <x:v>(870)555-6666</x:v>
      </x:c>
      <x:c r="C9" s="25" t="str">
        <x:v>taylor@example.com </x:v>
      </x:c>
      <x:c r="D9" s="25" t="str">
        <x:v>OPEN</x:v>
      </x:c>
      <x:c r="E9" s="70" t="str"/>
      <x:c r="G9" s="25" t="str">
        <x:v>Flash Fill</x:v>
      </x:c>
      <x:c r="H9" s="25" t="str">
        <x:v>Pattern-based cleanup</x:v>
      </x:c>
    </x:row>
    <x:row r="10">
      <x:c r="A10" s="25" t="str">
        <x:v>jamie white </x:v>
      </x:c>
      <x:c r="B10" s="25" t="str">
        <x:v>8705557777</x:v>
      </x:c>
      <x:c r="C10" s="25" t="str">
        <x:v> Jamie@Example.Com </x:v>
      </x:c>
      <x:c r="D10" s="25" t="str">
        <x:v>Completed </x:v>
      </x:c>
      <x:c r="E10" s="70" t="str"/>
    </x:row>
    <x:row r="11">
      <x:c r="A11" s="25" t="str">
        <x:v>CASEY BLACK</x:v>
      </x:c>
      <x:c r="B11" s="25" t="str">
        <x:v>870-555-8888</x:v>
      </x:c>
      <x:c r="C11" s="25" t="str">
        <x:v>casey@example.com</x:v>
      </x:c>
      <x:c r="D11" s="25" t="str">
        <x:v>review</x:v>
      </x:c>
      <x:c r="E11" s="7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42" hidden="0" customWidth="1"/>
    <x:col min="3" max="3" width="5.5" hidden="0" customWidth="1"/>
    <x:col min="4" max="4" width="28" hidden="0" customWidth="1"/>
  </x:cols>
  <x:sheetData>
    <x:row r="1">
      <x:c r="A1" s="72" t="str">
        <x:v>Level</x:v>
      </x:c>
      <x:c r="B1" s="72" t="str">
        <x:v>Challenge</x:v>
      </x:c>
      <x:c r="C1" s="72" t="str">
        <x:v>Done?</x:v>
      </x:c>
      <x:c r="D1" s="72" t="str">
        <x:v>Notes</x:v>
      </x:c>
    </x:row>
    <x:row r="2">
      <x:c r="A2" s="25" t="str">
        <x:v>Warm-up</x:v>
      </x:c>
      <x:c r="B2" s="25" t="str">
        <x:v>Change one header color and one font size.</x:v>
      </x:c>
      <x:c r="C2" s="25" t="str">
        <x:v>No</x:v>
      </x:c>
      <x:c r="D2" s="25" t="str"/>
    </x:row>
    <x:row r="3">
      <x:c r="A3" s="25" t="str">
        <x:v>Warm-up</x:v>
      </x:c>
      <x:c r="B3" s="25" t="str">
        <x:v>Add a new client to Client Tracker.</x:v>
      </x:c>
      <x:c r="C3" s="25" t="str">
        <x:v>No</x:v>
      </x:c>
      <x:c r="D3" s="25" t="str"/>
    </x:row>
    <x:row r="4">
      <x:c r="A4" s="25" t="str">
        <x:v>Formula</x:v>
      </x:c>
      <x:c r="B4" s="25" t="str">
        <x:v>Create a Profit formula using quoted minus a pretend cost.</x:v>
      </x:c>
      <x:c r="C4" s="25" t="str">
        <x:v>No</x:v>
      </x:c>
      <x:c r="D4" s="25" t="str"/>
    </x:row>
    <x:row r="5">
      <x:c r="A5" s="25" t="str">
        <x:v>Formula</x:v>
      </x:c>
      <x:c r="B5" s="25" t="str">
        <x:v>Use IF to label balances over $300 as High Balance.</x:v>
      </x:c>
      <x:c r="C5" s="25" t="str">
        <x:v>No</x:v>
      </x:c>
      <x:c r="D5" s="25" t="str"/>
    </x:row>
    <x:row r="6">
      <x:c r="A6" s="25" t="str">
        <x:v>Data</x:v>
      </x:c>
      <x:c r="B6" s="25" t="str">
        <x:v>Sort Client Tracker by Due Date.</x:v>
      </x:c>
      <x:c r="C6" s="25" t="str">
        <x:v>No</x:v>
      </x:c>
      <x:c r="D6" s="25" t="str"/>
    </x:row>
    <x:row r="7">
      <x:c r="A7" s="25" t="str">
        <x:v>Data</x:v>
      </x:c>
      <x:c r="B7" s="25" t="str">
        <x:v>Filter to only Open jobs.</x:v>
      </x:c>
      <x:c r="C7" s="25" t="str">
        <x:v>No</x:v>
      </x:c>
      <x:c r="D7" s="25" t="str"/>
    </x:row>
    <x:row r="8">
      <x:c r="A8" s="25" t="str">
        <x:v>Visual</x:v>
      </x:c>
      <x:c r="B8" s="25" t="str">
        <x:v>Create a pie or doughnut chart from status counts.</x:v>
      </x:c>
      <x:c r="C8" s="25" t="str">
        <x:v>No</x:v>
      </x:c>
      <x:c r="D8" s="25" t="str"/>
    </x:row>
    <x:row r="9">
      <x:c r="A9" s="25" t="str">
        <x:v>Visual</x:v>
      </x:c>
      <x:c r="B9" s="25" t="str">
        <x:v>Add conditional formatting for overdue due dates.</x:v>
      </x:c>
      <x:c r="C9" s="25" t="str">
        <x:v>No</x:v>
      </x:c>
      <x:c r="D9" s="25" t="str"/>
    </x:row>
    <x:row r="10">
      <x:c r="A10" s="25" t="str">
        <x:v>Invoice</x:v>
      </x:c>
      <x:c r="B10" s="25" t="str">
        <x:v>Add a discount row to the invoice.</x:v>
      </x:c>
      <x:c r="C10" s="25" t="str">
        <x:v>No</x:v>
      </x:c>
      <x:c r="D10" s="25" t="str"/>
    </x:row>
    <x:row r="11">
      <x:c r="A11" s="25" t="str">
        <x:v>Invoice</x:v>
      </x:c>
      <x:c r="B11" s="25" t="str">
        <x:v>Make the invoice print neatly on one page.</x:v>
      </x:c>
      <x:c r="C11" s="25" t="str">
        <x:v>No</x:v>
      </x:c>
      <x:c r="D11" s="25" t="str"/>
    </x:row>
    <x:row r="12">
      <x:c r="A12" s="25" t="str">
        <x:v>Cleaning</x:v>
      </x:c>
      <x:c r="B12" s="25" t="str">
        <x:v>Clean all names and emails in Data Cleaning.</x:v>
      </x:c>
      <x:c r="C12" s="25" t="str">
        <x:v>No</x:v>
      </x:c>
      <x:c r="D12" s="25" t="str"/>
    </x:row>
    <x:row r="13">
      <x:c r="A13" s="25" t="str">
        <x:v>Advanced</x:v>
      </x:c>
      <x:c r="B13" s="25" t="str">
        <x:v>Create your own new worksheet from scratch.</x:v>
      </x:c>
      <x:c r="C13" s="25" t="str">
        <x:v>No</x:v>
      </x:c>
      <x:c r="D13" s="25" t="str"/>
    </x:row>
  </x:sheetData>
  <x:conditionalFormatting sqref="C2:C13">
    <x:cfRule type="expression" dxfId="2" priority="1">
      <x:formula>C2="Yes"</x:formula>
    </x:cfRule>
  </x:conditionalFormatting>
  <x:dataValidations count="1">
    <x:dataValidation type="list" sqref="C2:C50">
      <x:formula1>"No,Working on it,Yes"</x:formula1>
    </x:dataValidation>
  </x:dataValidations>
  <x:pageMargins left="0.7" right="0.7" top="0.75" bottom="0.75" header="0.3" footer="0.3"/>
</x:worksheet>
</file>